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songchauco-my.sharepoint.com/personal/yennth_songchau_vn/Documents/Desktop/BQMS_BG- cam ket-giao hang/"/>
    </mc:Choice>
  </mc:AlternateContent>
  <xr:revisionPtr revIDLastSave="23" documentId="13_ncr:1_{CC476ACA-5224-488D-A011-0EE135ADE610}" xr6:coauthVersionLast="47" xr6:coauthVersionMax="47" xr10:uidLastSave="{2AE907C6-74D9-48C0-8CF6-DF19CBC45247}"/>
  <bookViews>
    <workbookView xWindow="-120" yWindow="-120" windowWidth="29040" windowHeight="15840" xr2:uid="{00000000-000D-0000-FFFF-FFFF00000000}"/>
  </bookViews>
  <sheets>
    <sheet name="BQMS CODE" sheetId="5" r:id="rId1"/>
  </sheets>
  <definedNames>
    <definedName name="_xlnm.Print_Area" localSheetId="0">'BQMS CODE'!$A$1:$K$40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5" l="1"/>
  <c r="I18" i="5" s="1"/>
  <c r="G18" i="5"/>
  <c r="C4" i="5"/>
  <c r="L17" i="5"/>
</calcChain>
</file>

<file path=xl/sharedStrings.xml><?xml version="1.0" encoding="utf-8"?>
<sst xmlns="http://schemas.openxmlformats.org/spreadsheetml/2006/main" count="63" uniqueCount="59">
  <si>
    <t>QUOTATION</t>
  </si>
  <si>
    <t>Date:</t>
  </si>
  <si>
    <t>Biz Reg No.</t>
    <phoneticPr fontId="0" type="noConversion"/>
  </si>
  <si>
    <t>Quotation No.</t>
  </si>
  <si>
    <t>Tel(mobile)</t>
  </si>
  <si>
    <t>E-mail</t>
  </si>
  <si>
    <r>
      <t xml:space="preserve">Bank accounts
</t>
    </r>
    <r>
      <rPr>
        <i/>
        <sz val="11"/>
        <color theme="1"/>
        <rFont val="Times New Roman"/>
        <family val="1"/>
      </rPr>
      <t>Tai khoan NH</t>
    </r>
  </si>
  <si>
    <t>0109945747</t>
  </si>
  <si>
    <t>NGUYEN CHI THANH</t>
    <phoneticPr fontId="0" type="noConversion"/>
  </si>
  <si>
    <t>093 458 4116</t>
  </si>
  <si>
    <t>khangct@gpholdings.vn</t>
  </si>
  <si>
    <t>680607629999
Vietnam Joint Stock Commercial Bank For Industry
And Trade (VietinBank)- Hai Ba Trung Branch- Hanoi city</t>
  </si>
  <si>
    <t>RFQ No.</t>
  </si>
  <si>
    <t>No.</t>
  </si>
  <si>
    <t>BQMS code</t>
  </si>
  <si>
    <t>tỷ lệ báo giá gốc</t>
  </si>
  <si>
    <t>Đơn giá mua vào</t>
  </si>
  <si>
    <t>Đơn giá bán</t>
  </si>
  <si>
    <t>Giá trị báo gốc</t>
  </si>
  <si>
    <t>Đơn giá vào nego1</t>
  </si>
  <si>
    <t>Giá trị vào nego1</t>
  </si>
  <si>
    <t>Đơn giá báo nego1</t>
  </si>
  <si>
    <t>Giá trị báo nego1</t>
  </si>
  <si>
    <r>
      <t xml:space="preserve">Items
</t>
    </r>
    <r>
      <rPr>
        <i/>
        <sz val="12"/>
        <color theme="1"/>
        <rFont val="Times New Roman"/>
        <family val="1"/>
      </rPr>
      <t>Hạng mục/Quy cách</t>
    </r>
  </si>
  <si>
    <r>
      <t xml:space="preserve">Image/Drawing
</t>
    </r>
    <r>
      <rPr>
        <i/>
        <sz val="12"/>
        <color theme="1"/>
        <rFont val="Times New Roman"/>
        <family val="1"/>
      </rPr>
      <t>Hình Ảnh</t>
    </r>
  </si>
  <si>
    <r>
      <rPr>
        <b/>
        <i/>
        <sz val="12"/>
        <color theme="1"/>
        <rFont val="Times New Roman"/>
        <family val="1"/>
      </rPr>
      <t>Unit</t>
    </r>
    <r>
      <rPr>
        <i/>
        <sz val="12"/>
        <color theme="1"/>
        <rFont val="Times New Roman"/>
        <family val="1"/>
      </rPr>
      <t xml:space="preserve">
ĐVT</t>
    </r>
  </si>
  <si>
    <r>
      <t xml:space="preserve">Q'ty
</t>
    </r>
    <r>
      <rPr>
        <i/>
        <sz val="12"/>
        <color theme="1"/>
        <rFont val="Times New Roman"/>
        <family val="1"/>
      </rPr>
      <t>S/L</t>
    </r>
  </si>
  <si>
    <r>
      <t xml:space="preserve">Unit Price  </t>
    </r>
    <r>
      <rPr>
        <i/>
        <sz val="12"/>
        <color theme="1"/>
        <rFont val="Times New Roman"/>
        <family val="1"/>
      </rPr>
      <t>Đơn Giá</t>
    </r>
  </si>
  <si>
    <r>
      <t xml:space="preserve">Amount
</t>
    </r>
    <r>
      <rPr>
        <i/>
        <sz val="12"/>
        <color theme="1"/>
        <rFont val="Times New Roman"/>
        <family val="1"/>
      </rPr>
      <t>Thành Tiền</t>
    </r>
  </si>
  <si>
    <t>Grand Total (vnd)</t>
  </si>
  <si>
    <t>Terms and Conditions / Các điều kiện</t>
    <phoneticPr fontId="0" type="noConversion"/>
  </si>
  <si>
    <t xml:space="preserve">                             AMA BẮC NINH JSC</t>
  </si>
  <si>
    <r>
      <t xml:space="preserve">The price is not included VAT
</t>
    </r>
    <r>
      <rPr>
        <i/>
        <sz val="12"/>
        <rFont val="Times New Roman"/>
        <family val="1"/>
      </rPr>
      <t>Giá chưa bao gồm VAT</t>
    </r>
  </si>
  <si>
    <r>
      <t xml:space="preserve">Within 30 days from delivery date
</t>
    </r>
    <r>
      <rPr>
        <i/>
        <sz val="12"/>
        <color theme="1"/>
        <rFont val="Times New Roman"/>
        <family val="1"/>
      </rPr>
      <t>Thanh toán trong vòng 30 ngày kể từ ngày giao hàng</t>
    </r>
  </si>
  <si>
    <r>
      <t xml:space="preserve">Delivery within 30 days to customer's warehouse after receipt of the purchase order.
</t>
    </r>
    <r>
      <rPr>
        <i/>
        <sz val="12"/>
        <rFont val="Times New Roman"/>
        <family val="1"/>
      </rPr>
      <t>Giao hàng  trong vòng 30 ngày tại kho bên mua kể từ ngày nhận được đơn hàng.</t>
    </r>
  </si>
  <si>
    <r>
      <t xml:space="preserve">Within 1 month.
</t>
    </r>
    <r>
      <rPr>
        <i/>
        <sz val="12"/>
        <color theme="1"/>
        <rFont val="Times New Roman"/>
        <family val="1"/>
      </rPr>
      <t>Trong vòng 1 tháng kể từ ngày báo giá.</t>
    </r>
  </si>
  <si>
    <t>Address:</t>
  </si>
  <si>
    <t>Name:</t>
  </si>
  <si>
    <t>Sold From:</t>
  </si>
  <si>
    <t>Price
Giá thành:</t>
  </si>
  <si>
    <t>Payment
Thanh toán:</t>
  </si>
  <si>
    <t xml:space="preserve">Delivery
Giao hàng: </t>
  </si>
  <si>
    <t>Packing
Đóng gói:</t>
  </si>
  <si>
    <t>Validity
Hiệu lực:</t>
  </si>
  <si>
    <t>Sold To:</t>
  </si>
  <si>
    <t>Tel:</t>
  </si>
  <si>
    <t>E-mail:</t>
  </si>
  <si>
    <r>
      <t xml:space="preserve">Product description/ </t>
    </r>
    <r>
      <rPr>
        <i/>
        <sz val="12"/>
        <color theme="1"/>
        <rFont val="Times New Roman"/>
        <family val="1"/>
      </rPr>
      <t xml:space="preserve">Tên hàng: </t>
    </r>
  </si>
  <si>
    <t xml:space="preserve"> </t>
  </si>
  <si>
    <r>
      <t xml:space="preserve">Maker
</t>
    </r>
    <r>
      <rPr>
        <i/>
        <sz val="12"/>
        <color theme="1"/>
        <rFont val="Times New Roman"/>
        <family val="1"/>
      </rPr>
      <t>Thương hiệu</t>
    </r>
  </si>
  <si>
    <r>
      <t xml:space="preserve">Ghi chú
</t>
    </r>
    <r>
      <rPr>
        <i/>
        <sz val="12"/>
        <color theme="1"/>
        <rFont val="Times New Roman"/>
        <family val="1"/>
      </rPr>
      <t>(nếu có)</t>
    </r>
  </si>
  <si>
    <r>
      <t xml:space="preserve">Manufacture's packing standard.
</t>
    </r>
    <r>
      <rPr>
        <i/>
        <sz val="12"/>
        <color theme="1"/>
        <rFont val="Times New Roman"/>
        <family val="1"/>
      </rPr>
      <t>Theo tiêu chuẩn của nhà sản xuất.</t>
    </r>
  </si>
  <si>
    <t>EA</t>
  </si>
  <si>
    <t>SAMSUNG ELECTRONICS VIETNAM CO., LTD.</t>
  </si>
  <si>
    <t xml:space="preserve"> AMA BAC NINH JOINT STOCK COMPANY</t>
  </si>
  <si>
    <t>Single apartment 307, 3.7/2 Street, Gamuda Urban Area, Km 4.4 Phap Van, Hoang Mai Ward, Hanoi City, Vietnam.</t>
  </si>
  <si>
    <t>1 Industrial Zone, Yen Trung Ward, Bac Ninh Province, Vietnam</t>
  </si>
  <si>
    <t>QT25101197</t>
  </si>
  <si>
    <t>QTAMABN-SEV 09072025 - QT25101197 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</si>
</sst>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[$-409]mmmm\ d\,\ yyyy;@"/>
    <numFmt numFmtId="166" formatCode="0_ "/>
    <numFmt numFmtId="167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u/>
      <sz val="11"/>
      <color theme="10"/>
      <name val="돋움"/>
      <family val="3"/>
      <charset val="129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0"/>
      <name val="Arial"/>
      <family val="2"/>
    </font>
    <font>
      <b/>
      <u/>
      <sz val="12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b/>
      <sz val="36"/>
      <color theme="1"/>
      <name val="Times New Roman"/>
      <family val="1"/>
    </font>
    <font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 applyNumberFormat="0" applyFill="0" applyBorder="0" applyAlignment="0" applyProtection="0"/>
    <xf numFmtId="0" fontId="1" fillId="0" borderId="0"/>
    <xf numFmtId="0" fontId="13" fillId="0" borderId="0"/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165" fontId="5" fillId="2" borderId="0" xfId="3" applyNumberFormat="1" applyFont="1" applyFill="1" applyAlignment="1">
      <alignment horizontal="left" vertical="center" wrapText="1"/>
    </xf>
    <xf numFmtId="0" fontId="2" fillId="2" borderId="0" xfId="3" applyFont="1" applyFill="1" applyAlignment="1">
      <alignment vertical="center" wrapText="1"/>
    </xf>
    <xf numFmtId="0" fontId="10" fillId="0" borderId="0" xfId="3" applyFont="1" applyAlignment="1">
      <alignment vertical="center"/>
    </xf>
    <xf numFmtId="0" fontId="10" fillId="0" borderId="0" xfId="3" applyFont="1" applyAlignment="1">
      <alignment horizontal="left" vertical="center" wrapText="1"/>
    </xf>
    <xf numFmtId="0" fontId="3" fillId="0" borderId="0" xfId="3" applyFont="1" applyAlignment="1">
      <alignment horizontal="left" vertical="top"/>
    </xf>
    <xf numFmtId="0" fontId="10" fillId="3" borderId="1" xfId="5" applyFont="1" applyFill="1" applyBorder="1" applyAlignment="1">
      <alignment horizontal="center" vertical="center" wrapText="1"/>
    </xf>
    <xf numFmtId="3" fontId="3" fillId="4" borderId="2" xfId="5" applyNumberFormat="1" applyFont="1" applyFill="1" applyBorder="1" applyAlignment="1">
      <alignment horizontal="center" vertical="center" wrapText="1"/>
    </xf>
    <xf numFmtId="3" fontId="3" fillId="0" borderId="2" xfId="5" applyNumberFormat="1" applyFont="1" applyBorder="1" applyAlignment="1">
      <alignment horizontal="center" vertical="center" wrapText="1"/>
    </xf>
    <xf numFmtId="3" fontId="3" fillId="0" borderId="2" xfId="5" applyNumberFormat="1" applyFont="1" applyBorder="1" applyAlignment="1">
      <alignment vertical="center" wrapText="1"/>
    </xf>
    <xf numFmtId="0" fontId="14" fillId="0" borderId="5" xfId="6" applyFont="1" applyBorder="1" applyAlignment="1">
      <alignment vertical="center"/>
    </xf>
    <xf numFmtId="0" fontId="3" fillId="0" borderId="0" xfId="3" applyFont="1" applyAlignment="1">
      <alignment vertical="center" wrapText="1"/>
    </xf>
    <xf numFmtId="0" fontId="2" fillId="2" borderId="0" xfId="3" applyFont="1" applyFill="1" applyAlignment="1">
      <alignment horizontal="left" vertical="center" wrapText="1"/>
    </xf>
    <xf numFmtId="0" fontId="3" fillId="0" borderId="0" xfId="0" applyFont="1" applyAlignment="1">
      <alignment horizontal="left"/>
    </xf>
    <xf numFmtId="0" fontId="2" fillId="2" borderId="0" xfId="3" quotePrefix="1" applyFont="1" applyFill="1" applyAlignment="1">
      <alignment horizontal="left" vertical="center" wrapText="1"/>
    </xf>
    <xf numFmtId="0" fontId="7" fillId="2" borderId="0" xfId="4" applyFill="1" applyAlignment="1">
      <alignment horizontal="left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4" borderId="0" xfId="0" applyFont="1" applyFill="1"/>
    <xf numFmtId="167" fontId="3" fillId="0" borderId="0" xfId="1" applyNumberFormat="1" applyFont="1"/>
    <xf numFmtId="0" fontId="5" fillId="2" borderId="0" xfId="3" applyFont="1" applyFill="1" applyAlignment="1">
      <alignment horizontal="left" vertical="center" wrapText="1"/>
    </xf>
    <xf numFmtId="0" fontId="5" fillId="0" borderId="0" xfId="3" applyFont="1" applyAlignment="1">
      <alignment horizontal="left" vertical="center" wrapText="1"/>
    </xf>
    <xf numFmtId="9" fontId="3" fillId="0" borderId="0" xfId="0" applyNumberFormat="1" applyFont="1"/>
    <xf numFmtId="0" fontId="8" fillId="2" borderId="0" xfId="3" applyFont="1" applyFill="1" applyAlignment="1">
      <alignment horizontal="left" vertical="center"/>
    </xf>
    <xf numFmtId="0" fontId="8" fillId="7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5" fillId="2" borderId="0" xfId="3" applyFont="1" applyFill="1" applyAlignment="1">
      <alignment horizontal="center" vertical="center" wrapText="1"/>
    </xf>
    <xf numFmtId="0" fontId="16" fillId="0" borderId="0" xfId="6" applyFont="1" applyAlignment="1">
      <alignment horizontal="left" vertical="center" wrapText="1"/>
    </xf>
    <xf numFmtId="0" fontId="3" fillId="0" borderId="0" xfId="6" applyFont="1" applyAlignment="1">
      <alignment horizontal="left" vertical="center" wrapText="1"/>
    </xf>
    <xf numFmtId="0" fontId="10" fillId="0" borderId="0" xfId="3" applyFont="1" applyAlignment="1">
      <alignment horizontal="center" vertical="center" wrapText="1"/>
    </xf>
    <xf numFmtId="0" fontId="10" fillId="3" borderId="6" xfId="5" applyFont="1" applyFill="1" applyBorder="1" applyAlignment="1">
      <alignment horizontal="center" vertical="center" wrapText="1"/>
    </xf>
    <xf numFmtId="164" fontId="14" fillId="0" borderId="0" xfId="7" applyFont="1" applyBorder="1" applyAlignment="1">
      <alignment vertical="center"/>
    </xf>
    <xf numFmtId="3" fontId="3" fillId="0" borderId="4" xfId="5" applyNumberFormat="1" applyFont="1" applyBorder="1" applyAlignment="1">
      <alignment horizontal="center" vertical="center" wrapText="1"/>
    </xf>
    <xf numFmtId="3" fontId="18" fillId="6" borderId="7" xfId="0" applyNumberFormat="1" applyFont="1" applyFill="1" applyBorder="1" applyAlignment="1">
      <alignment horizontal="center" vertical="center" wrapText="1"/>
    </xf>
    <xf numFmtId="167" fontId="10" fillId="5" borderId="6" xfId="0" applyNumberFormat="1" applyFont="1" applyFill="1" applyBorder="1" applyAlignment="1">
      <alignment vertical="center"/>
    </xf>
    <xf numFmtId="3" fontId="18" fillId="6" borderId="2" xfId="0" applyNumberFormat="1" applyFont="1" applyFill="1" applyBorder="1" applyAlignment="1">
      <alignment horizontal="center" vertical="center" wrapText="1"/>
    </xf>
    <xf numFmtId="0" fontId="11" fillId="3" borderId="6" xfId="5" applyFont="1" applyFill="1" applyBorder="1" applyAlignment="1">
      <alignment horizontal="center" vertical="center" wrapText="1"/>
    </xf>
    <xf numFmtId="0" fontId="10" fillId="3" borderId="9" xfId="5" applyFont="1" applyFill="1" applyBorder="1" applyAlignment="1">
      <alignment horizontal="center" vertical="center" wrapText="1"/>
    </xf>
    <xf numFmtId="0" fontId="3" fillId="0" borderId="8" xfId="0" applyFont="1" applyBorder="1"/>
    <xf numFmtId="0" fontId="2" fillId="0" borderId="0" xfId="3" applyFont="1" applyAlignment="1">
      <alignment vertical="center" wrapText="1"/>
    </xf>
    <xf numFmtId="9" fontId="3" fillId="4" borderId="4" xfId="2" applyFont="1" applyFill="1" applyBorder="1"/>
    <xf numFmtId="0" fontId="10" fillId="5" borderId="6" xfId="0" applyFont="1" applyFill="1" applyBorder="1"/>
    <xf numFmtId="0" fontId="2" fillId="0" borderId="2" xfId="0" applyFont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0" fillId="0" borderId="3" xfId="0" applyBorder="1"/>
    <xf numFmtId="0" fontId="3" fillId="0" borderId="2" xfId="0" applyFont="1" applyBorder="1" applyAlignment="1">
      <alignment horizontal="center" vertical="center"/>
    </xf>
    <xf numFmtId="3" fontId="18" fillId="0" borderId="12" xfId="0" applyNumberFormat="1" applyFont="1" applyBorder="1" applyAlignment="1">
      <alignment horizontal="center" vertical="center" wrapText="1"/>
    </xf>
    <xf numFmtId="3" fontId="18" fillId="6" borderId="12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top"/>
    </xf>
    <xf numFmtId="0" fontId="5" fillId="2" borderId="0" xfId="3" applyFont="1" applyFill="1" applyAlignment="1">
      <alignment horizontal="left" vertical="center"/>
    </xf>
    <xf numFmtId="0" fontId="10" fillId="5" borderId="6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5" fillId="0" borderId="0" xfId="3" applyFont="1" applyAlignment="1">
      <alignment horizontal="left" vertical="center" wrapText="1"/>
    </xf>
    <xf numFmtId="0" fontId="5" fillId="2" borderId="0" xfId="3" applyFont="1" applyFill="1" applyAlignment="1">
      <alignment horizontal="left" vertical="center" wrapText="1"/>
    </xf>
    <xf numFmtId="0" fontId="5" fillId="2" borderId="0" xfId="3" applyFont="1" applyFill="1" applyAlignment="1">
      <alignment horizontal="center" vertical="center" wrapText="1"/>
    </xf>
    <xf numFmtId="0" fontId="2" fillId="0" borderId="0" xfId="3" applyFont="1" applyAlignment="1">
      <alignment horizontal="left" vertical="center" wrapText="1"/>
    </xf>
    <xf numFmtId="0" fontId="15" fillId="0" borderId="0" xfId="6" applyFont="1" applyAlignment="1">
      <alignment horizontal="left" vertical="center" wrapText="1"/>
    </xf>
    <xf numFmtId="0" fontId="16" fillId="0" borderId="0" xfId="6" applyFont="1" applyAlignment="1">
      <alignment horizontal="left" vertical="center" wrapText="1"/>
    </xf>
    <xf numFmtId="0" fontId="9" fillId="0" borderId="0" xfId="3" applyFont="1" applyAlignment="1">
      <alignment horizontal="left" vertical="center" wrapText="1"/>
    </xf>
    <xf numFmtId="166" fontId="2" fillId="0" borderId="0" xfId="3" applyNumberFormat="1" applyFont="1" applyAlignment="1">
      <alignment horizontal="left" vertical="center" wrapText="1"/>
    </xf>
    <xf numFmtId="0" fontId="5" fillId="5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3" fillId="0" borderId="0" xfId="6" applyFont="1" applyAlignment="1">
      <alignment horizontal="left" vertical="center" wrapText="1"/>
    </xf>
    <xf numFmtId="14" fontId="3" fillId="0" borderId="0" xfId="6" applyNumberFormat="1" applyFont="1" applyAlignment="1">
      <alignment horizontal="left" vertical="center" wrapText="1"/>
    </xf>
    <xf numFmtId="0" fontId="10" fillId="0" borderId="0" xfId="3" applyFont="1" applyAlignment="1">
      <alignment horizontal="left" vertical="top" wrapText="1"/>
    </xf>
    <xf numFmtId="0" fontId="10" fillId="0" borderId="0" xfId="3" applyFont="1" applyAlignment="1">
      <alignment horizontal="center" vertical="center" wrapText="1"/>
    </xf>
  </cellXfs>
  <cellStyles count="8">
    <cellStyle name="Comma" xfId="1" builtinId="3"/>
    <cellStyle name="Hyperlink" xfId="4" builtinId="8"/>
    <cellStyle name="Normal" xfId="0" builtinId="0"/>
    <cellStyle name="Normal 2" xfId="3" xr:uid="{00000000-0005-0000-0000-000003000000}"/>
    <cellStyle name="Normal 2 2 2" xfId="6" xr:uid="{00000000-0005-0000-0000-000004000000}"/>
    <cellStyle name="Percent" xfId="2" builtinId="5"/>
    <cellStyle name="쉼표 [0] 2 23" xfId="7" xr:uid="{00000000-0005-0000-0000-000006000000}"/>
    <cellStyle name="표준 2 24" xfId="5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211564</xdr:colOff>
      <xdr:row>1</xdr:row>
      <xdr:rowOff>80235</xdr:rowOff>
    </xdr:from>
    <xdr:to>
      <xdr:col>7</xdr:col>
      <xdr:colOff>396910</xdr:colOff>
      <xdr:row>2</xdr:row>
      <xdr:rowOff>7621</xdr:rowOff>
    </xdr:to>
    <xdr:pic>
      <xdr:nvPicPr>
        <xdr:cNvPr id="3" name="Picture 2" descr="D:\AMA\BN\Others\Form\Logo AMA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88564" y="281941"/>
          <a:ext cx="1485228" cy="49888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291354</xdr:colOff>
      <xdr:row>28</xdr:row>
      <xdr:rowOff>56029</xdr:rowOff>
    </xdr:from>
    <xdr:to>
      <xdr:col>3</xdr:col>
      <xdr:colOff>235325</xdr:colOff>
      <xdr:row>39</xdr:row>
      <xdr:rowOff>145676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59EA63-A2C0-AE59-70E9-914258D84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54" y="10130117"/>
          <a:ext cx="4045324" cy="2308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hangct@gpholdings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27"/>
  <sheetViews>
    <sheetView tabSelected="1" view="pageBreakPreview" zoomScale="85" zoomScaleNormal="85" zoomScaleSheetLayoutView="85" workbookViewId="0">
      <selection activeCell="D17" sqref="D17"/>
    </sheetView>
  </sheetViews>
  <sheetFormatPr defaultColWidth="8.85546875" defaultRowHeight="15.75" x14ac:dyDescent="0.25"/>
  <cols>
    <col min="1" max="1" width="10.140625" style="1" customWidth="1"/>
    <col min="2" max="2" width="11.85546875" style="2" customWidth="1"/>
    <col min="3" max="3" width="39.140625" style="2" customWidth="1"/>
    <col min="4" max="4" width="16.42578125" style="2" customWidth="1"/>
    <col min="5" max="5" width="19.42578125" style="2" customWidth="1"/>
    <col min="6" max="6" width="10.28515625" style="2" customWidth="1"/>
    <col min="7" max="7" width="9.28515625" style="2" customWidth="1"/>
    <col min="8" max="8" width="12.7109375" style="2" customWidth="1"/>
    <col min="9" max="9" width="19.7109375" style="2" customWidth="1"/>
    <col min="10" max="10" width="12.85546875" style="2" customWidth="1"/>
    <col min="11" max="11" width="8.85546875" style="2"/>
    <col min="12" max="12" width="12.42578125" style="2" customWidth="1"/>
    <col min="13" max="13" width="11.5703125" style="2" customWidth="1"/>
    <col min="14" max="16384" width="8.85546875" style="2"/>
  </cols>
  <sheetData>
    <row r="2" spans="1:19" ht="45" x14ac:dyDescent="0.6">
      <c r="A2" s="54" t="s">
        <v>0</v>
      </c>
      <c r="B2" s="54"/>
      <c r="C2" s="54"/>
      <c r="D2" s="54"/>
      <c r="E2" s="54"/>
      <c r="F2" s="54"/>
      <c r="G2" s="54"/>
      <c r="H2" s="54"/>
      <c r="I2" s="54"/>
      <c r="J2" s="26"/>
    </row>
    <row r="4" spans="1:19" x14ac:dyDescent="0.25">
      <c r="A4" s="56" t="s">
        <v>1</v>
      </c>
      <c r="B4" s="56"/>
      <c r="C4" s="3">
        <f ca="1">TODAY()</f>
        <v>45940</v>
      </c>
      <c r="D4" s="3"/>
    </row>
    <row r="5" spans="1:19" x14ac:dyDescent="0.25">
      <c r="A5" s="15"/>
      <c r="B5" s="15"/>
    </row>
    <row r="6" spans="1:19" ht="27.6" customHeight="1" x14ac:dyDescent="0.25">
      <c r="A6" s="56" t="s">
        <v>2</v>
      </c>
      <c r="B6" s="56"/>
      <c r="C6" s="16" t="s">
        <v>7</v>
      </c>
      <c r="D6" s="16"/>
      <c r="F6" s="57" t="s">
        <v>12</v>
      </c>
      <c r="G6" s="57"/>
      <c r="H6" s="58" t="s">
        <v>57</v>
      </c>
      <c r="I6" s="58"/>
      <c r="J6" s="28"/>
    </row>
    <row r="7" spans="1:19" ht="27.6" customHeight="1" x14ac:dyDescent="0.25">
      <c r="A7" s="56" t="s">
        <v>3</v>
      </c>
      <c r="B7" s="56"/>
      <c r="C7" s="24" t="s">
        <v>58</v>
      </c>
      <c r="D7" s="24"/>
      <c r="F7" s="15"/>
      <c r="G7" s="15"/>
      <c r="H7" s="15" t="s">
        <v>48</v>
      </c>
      <c r="I7" s="15"/>
      <c r="J7" s="15"/>
    </row>
    <row r="8" spans="1:19" ht="27.6" customHeight="1" x14ac:dyDescent="0.25">
      <c r="A8" s="56" t="s">
        <v>38</v>
      </c>
      <c r="B8" s="56"/>
      <c r="C8" s="52" t="s">
        <v>54</v>
      </c>
      <c r="D8" s="21"/>
      <c r="F8" s="57" t="s">
        <v>44</v>
      </c>
      <c r="G8" s="57"/>
      <c r="H8" s="51" t="s">
        <v>53</v>
      </c>
      <c r="I8" s="51"/>
      <c r="J8" s="51"/>
    </row>
    <row r="9" spans="1:19" ht="15.6" customHeight="1" x14ac:dyDescent="0.25">
      <c r="A9" s="56" t="s">
        <v>37</v>
      </c>
      <c r="B9" s="56"/>
      <c r="C9" s="14" t="s">
        <v>8</v>
      </c>
      <c r="D9" s="14"/>
      <c r="E9" s="4"/>
      <c r="F9" s="56" t="s">
        <v>37</v>
      </c>
      <c r="G9" s="56"/>
      <c r="H9" s="51"/>
      <c r="I9" s="51"/>
      <c r="J9" s="51"/>
    </row>
    <row r="10" spans="1:19" ht="50.45" customHeight="1" x14ac:dyDescent="0.25">
      <c r="A10" s="56" t="s">
        <v>36</v>
      </c>
      <c r="B10" s="56"/>
      <c r="C10" s="59" t="s">
        <v>55</v>
      </c>
      <c r="D10" s="59"/>
      <c r="E10" s="41"/>
      <c r="F10" s="56" t="s">
        <v>36</v>
      </c>
      <c r="G10" s="56"/>
      <c r="H10" s="55" t="s">
        <v>56</v>
      </c>
      <c r="I10" s="55"/>
      <c r="J10" s="27"/>
    </row>
    <row r="11" spans="1:19" ht="24.6" customHeight="1" x14ac:dyDescent="0.25">
      <c r="A11" s="56" t="s">
        <v>4</v>
      </c>
      <c r="B11" s="56"/>
      <c r="C11" s="16" t="s">
        <v>9</v>
      </c>
      <c r="D11" s="16"/>
      <c r="F11" s="56" t="s">
        <v>45</v>
      </c>
      <c r="G11" s="56"/>
      <c r="H11" s="22"/>
      <c r="I11" s="15"/>
      <c r="J11" s="15"/>
    </row>
    <row r="12" spans="1:19" ht="20.45" customHeight="1" x14ac:dyDescent="0.25">
      <c r="A12" s="56" t="s">
        <v>5</v>
      </c>
      <c r="B12" s="56"/>
      <c r="C12" s="17" t="s">
        <v>10</v>
      </c>
      <c r="D12" s="17"/>
      <c r="F12" s="62" t="s">
        <v>46</v>
      </c>
      <c r="G12" s="62"/>
      <c r="H12" s="22"/>
      <c r="I12" s="15"/>
      <c r="J12" s="15"/>
    </row>
    <row r="13" spans="1:19" ht="46.15" customHeight="1" x14ac:dyDescent="0.25">
      <c r="A13" s="56" t="s">
        <v>6</v>
      </c>
      <c r="B13" s="56"/>
      <c r="C13" s="63" t="s">
        <v>11</v>
      </c>
      <c r="D13" s="63"/>
      <c r="E13" s="63"/>
      <c r="F13" s="56" t="s">
        <v>6</v>
      </c>
      <c r="G13" s="56"/>
      <c r="I13" s="15"/>
      <c r="J13" s="15"/>
    </row>
    <row r="14" spans="1:19" x14ac:dyDescent="0.25">
      <c r="A14" s="5" t="s">
        <v>47</v>
      </c>
      <c r="B14" s="5"/>
      <c r="C14" s="5"/>
      <c r="D14" s="5"/>
      <c r="E14" s="5"/>
      <c r="F14" s="6"/>
      <c r="G14" s="6"/>
      <c r="H14" s="7"/>
      <c r="I14" s="7"/>
      <c r="J14" s="7"/>
    </row>
    <row r="15" spans="1:19" ht="16.5" thickBot="1" x14ac:dyDescent="0.3">
      <c r="B15" s="40"/>
      <c r="C15" s="40"/>
      <c r="D15" s="40"/>
      <c r="E15" s="40"/>
      <c r="F15" s="40"/>
      <c r="G15" s="40"/>
      <c r="H15" s="40"/>
      <c r="I15" s="40"/>
      <c r="J15" s="40"/>
      <c r="M15" s="23">
        <v>0.1</v>
      </c>
    </row>
    <row r="16" spans="1:19" ht="47.25" x14ac:dyDescent="0.25">
      <c r="A16" s="8" t="s">
        <v>13</v>
      </c>
      <c r="B16" s="32" t="s">
        <v>14</v>
      </c>
      <c r="C16" s="32" t="s">
        <v>23</v>
      </c>
      <c r="D16" s="32" t="s">
        <v>49</v>
      </c>
      <c r="E16" s="32" t="s">
        <v>24</v>
      </c>
      <c r="F16" s="38" t="s">
        <v>25</v>
      </c>
      <c r="G16" s="32" t="s">
        <v>26</v>
      </c>
      <c r="H16" s="39" t="s">
        <v>27</v>
      </c>
      <c r="I16" s="32" t="s">
        <v>28</v>
      </c>
      <c r="J16" s="32" t="s">
        <v>50</v>
      </c>
      <c r="L16" s="9" t="s">
        <v>15</v>
      </c>
      <c r="M16" s="10" t="s">
        <v>16</v>
      </c>
      <c r="N16" s="34" t="s">
        <v>17</v>
      </c>
      <c r="O16" s="10" t="s">
        <v>18</v>
      </c>
      <c r="P16" s="10" t="s">
        <v>19</v>
      </c>
      <c r="Q16" s="10" t="s">
        <v>20</v>
      </c>
      <c r="R16" s="10" t="s">
        <v>21</v>
      </c>
      <c r="S16" s="11" t="s">
        <v>22</v>
      </c>
    </row>
    <row r="17" spans="1:19" ht="64.900000000000006" customHeight="1" x14ac:dyDescent="0.25">
      <c r="A17" s="44">
        <v>1</v>
      </c>
      <c r="B17" s="45"/>
      <c r="C17" s="46"/>
      <c r="D17" s="25"/>
      <c r="E17" s="47"/>
      <c r="F17" s="48" t="s">
        <v>52</v>
      </c>
      <c r="G17" s="49"/>
      <c r="H17" s="50"/>
      <c r="I17" s="18">
        <f>G17*H17</f>
        <v>0</v>
      </c>
      <c r="J17" s="18"/>
      <c r="L17" s="42" t="e">
        <f>(N17-M17)/M17</f>
        <v>#DIV/0!</v>
      </c>
      <c r="M17" s="37"/>
      <c r="N17" s="35"/>
      <c r="O17" s="20"/>
      <c r="P17" s="20"/>
      <c r="Q17" s="20"/>
      <c r="R17" s="20"/>
      <c r="S17" s="20"/>
    </row>
    <row r="18" spans="1:19" ht="35.450000000000003" customHeight="1" x14ac:dyDescent="0.25">
      <c r="A18" s="64" t="s">
        <v>29</v>
      </c>
      <c r="B18" s="65"/>
      <c r="C18" s="65"/>
      <c r="D18" s="65"/>
      <c r="E18" s="66"/>
      <c r="F18" s="43"/>
      <c r="G18" s="53">
        <f>SUM(G17:G17)</f>
        <v>0</v>
      </c>
      <c r="H18" s="36"/>
      <c r="I18" s="36">
        <f>SUM(I17:I17)</f>
        <v>0</v>
      </c>
      <c r="J18" s="36"/>
      <c r="L18" s="19"/>
    </row>
    <row r="19" spans="1:19" ht="18" customHeight="1" thickBot="1" x14ac:dyDescent="0.3">
      <c r="I19" s="40"/>
      <c r="J19" s="40"/>
    </row>
    <row r="20" spans="1:19" ht="21" customHeight="1" x14ac:dyDescent="0.25">
      <c r="A20" s="12" t="s">
        <v>30</v>
      </c>
      <c r="B20" s="12"/>
      <c r="C20" s="12"/>
      <c r="D20" s="12"/>
      <c r="E20" s="12"/>
      <c r="F20" s="12"/>
      <c r="G20" s="12"/>
      <c r="H20" s="12"/>
      <c r="I20" s="33"/>
      <c r="J20" s="33"/>
    </row>
    <row r="21" spans="1:19" ht="36" customHeight="1" x14ac:dyDescent="0.25">
      <c r="A21" s="60" t="s">
        <v>39</v>
      </c>
      <c r="B21" s="60"/>
      <c r="C21" s="61" t="s">
        <v>32</v>
      </c>
      <c r="D21" s="61"/>
      <c r="E21" s="61"/>
      <c r="F21" s="61"/>
      <c r="G21" s="61"/>
      <c r="H21" s="61"/>
      <c r="I21" s="61"/>
      <c r="J21" s="29"/>
    </row>
    <row r="22" spans="1:19" ht="36" customHeight="1" x14ac:dyDescent="0.25">
      <c r="A22" s="60" t="s">
        <v>40</v>
      </c>
      <c r="B22" s="60"/>
      <c r="C22" s="67" t="s">
        <v>33</v>
      </c>
      <c r="D22" s="67"/>
      <c r="E22" s="67"/>
      <c r="F22" s="67"/>
      <c r="G22" s="67"/>
      <c r="H22" s="67"/>
      <c r="I22" s="67"/>
      <c r="J22" s="30"/>
    </row>
    <row r="23" spans="1:19" ht="36" customHeight="1" x14ac:dyDescent="0.25">
      <c r="A23" s="60" t="s">
        <v>41</v>
      </c>
      <c r="B23" s="60"/>
      <c r="C23" s="61" t="s">
        <v>34</v>
      </c>
      <c r="D23" s="61"/>
      <c r="E23" s="61"/>
      <c r="F23" s="61"/>
      <c r="G23" s="61"/>
      <c r="H23" s="61"/>
      <c r="I23" s="61"/>
      <c r="J23" s="29"/>
    </row>
    <row r="24" spans="1:19" ht="36" customHeight="1" x14ac:dyDescent="0.25">
      <c r="A24" s="60" t="s">
        <v>42</v>
      </c>
      <c r="B24" s="60"/>
      <c r="C24" s="68" t="s">
        <v>51</v>
      </c>
      <c r="D24" s="67"/>
      <c r="E24" s="67"/>
      <c r="F24" s="67"/>
      <c r="G24" s="67"/>
      <c r="H24" s="67"/>
      <c r="I24" s="67"/>
      <c r="J24" s="30"/>
    </row>
    <row r="25" spans="1:19" ht="36" customHeight="1" x14ac:dyDescent="0.25">
      <c r="A25" s="60" t="s">
        <v>43</v>
      </c>
      <c r="B25" s="60"/>
      <c r="C25" s="67" t="s">
        <v>35</v>
      </c>
      <c r="D25" s="67"/>
      <c r="E25" s="67"/>
      <c r="F25" s="67"/>
      <c r="G25" s="67"/>
      <c r="H25" s="67"/>
      <c r="I25" s="67"/>
      <c r="J25" s="30"/>
    </row>
    <row r="26" spans="1:19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spans="1:19" x14ac:dyDescent="0.25">
      <c r="A27" s="69" t="s">
        <v>31</v>
      </c>
      <c r="B27" s="69"/>
      <c r="C27" s="69"/>
      <c r="D27" s="69"/>
      <c r="E27" s="69"/>
      <c r="F27" s="70" t="s">
        <v>53</v>
      </c>
      <c r="G27" s="70"/>
      <c r="H27" s="70"/>
      <c r="I27" s="70"/>
      <c r="J27" s="31"/>
    </row>
  </sheetData>
  <mergeCells count="34">
    <mergeCell ref="A24:B24"/>
    <mergeCell ref="C24:I24"/>
    <mergeCell ref="A25:B25"/>
    <mergeCell ref="C25:I25"/>
    <mergeCell ref="A27:E27"/>
    <mergeCell ref="F27:I27"/>
    <mergeCell ref="A23:B23"/>
    <mergeCell ref="C23:I23"/>
    <mergeCell ref="A11:B11"/>
    <mergeCell ref="F11:G11"/>
    <mergeCell ref="A12:B12"/>
    <mergeCell ref="F12:G12"/>
    <mergeCell ref="A13:B13"/>
    <mergeCell ref="C13:E13"/>
    <mergeCell ref="F13:G13"/>
    <mergeCell ref="A18:E18"/>
    <mergeCell ref="A21:B21"/>
    <mergeCell ref="C21:I21"/>
    <mergeCell ref="A22:B22"/>
    <mergeCell ref="C22:I22"/>
    <mergeCell ref="A2:I2"/>
    <mergeCell ref="H10:I10"/>
    <mergeCell ref="A4:B4"/>
    <mergeCell ref="A6:B6"/>
    <mergeCell ref="F6:G6"/>
    <mergeCell ref="A7:B7"/>
    <mergeCell ref="A8:B8"/>
    <mergeCell ref="F8:G8"/>
    <mergeCell ref="A9:B9"/>
    <mergeCell ref="F9:G9"/>
    <mergeCell ref="A10:B10"/>
    <mergeCell ref="F10:G10"/>
    <mergeCell ref="H6:I6"/>
    <mergeCell ref="C10:D10"/>
  </mergeCells>
  <hyperlinks>
    <hyperlink ref="C12" r:id="rId1" xr:uid="{00000000-0004-0000-0000-000000000000}"/>
  </hyperlinks>
  <pageMargins left="0.98425196850393704" right="0.78740157480314965" top="0.98425196850393704" bottom="0.98425196850393704" header="0.51181102362204722" footer="0.51181102362204722"/>
  <pageSetup paperSize="9" scale="48" orientation="portrait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BQMS CODE</vt:lpstr>
      <vt:lpstr>'BQMS CODE'!Print_Area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Nguyễn Thị Hải Yến</cp:lastModifiedBy>
  <cp:lastPrinted>2024-08-08T07:13:59Z</cp:lastPrinted>
  <dcterms:created xsi:type="dcterms:W3CDTF">2023-01-11T02:28:37Z</dcterms:created>
  <dcterms:modified xsi:type="dcterms:W3CDTF">2025-10-10T08:04:04Z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2023-05-10T01:47:27Z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80b979e5-6eed-4129-b0f5-c57262ff068d</vt:lpwstr>
  </property>
  <property fmtid="{D5CDD505-2E9C-101B-9397-08002B2CF9AE}" pid="7" name="MSIP_Label_defa4170-0d19-0005-0004-bc88714345d2_ActionId">
    <vt:lpwstr>b77f6c6b-4a4d-45a1-874b-e6cef2446171</vt:lpwstr>
  </property>
  <property fmtid="{D5CDD505-2E9C-101B-9397-08002B2CF9AE}" pid="8" name="MSIP_Label_defa4170-0d19-0005-0004-bc88714345d2_ContentBits">
    <vt:lpwstr>0</vt:lpwstr>
  </property>
</Properties>
</file>